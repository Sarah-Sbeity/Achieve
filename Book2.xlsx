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98BC257-367E-4E41-897C-AF50190A4FD6}" xr6:coauthVersionLast="47" xr6:coauthVersionMax="47" xr10:uidLastSave="{00000000-0000-0000-0000-000000000000}"/>
  <bookViews>
    <workbookView xWindow="-108" yWindow="-108" windowWidth="23256" windowHeight="12456" xr2:uid="{672DCF3A-E74A-4526-9A57-94C431F5809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4" i="1" l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2938F25D-8AA3-45AB-9182-039321799D8E}">
      <text>
        <r>
          <rPr>
            <b/>
            <sz val="9"/>
            <color indexed="81"/>
            <rFont val="Tahoma"/>
            <family val="2"/>
          </rPr>
          <t xml:space="preserve">User: for sub dimension with more than 1 question, the question were added in the same celle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<sst xmlns="http://schemas.openxmlformats.org/spreadsheetml/2006/main" count="241" uniqueCount="113">
  <si>
    <t>Layer</t>
  </si>
  <si>
    <t>Dimension</t>
  </si>
  <si>
    <t xml:space="preserve">Question </t>
  </si>
  <si>
    <t>Sub-Dimension</t>
  </si>
  <si>
    <t>Root-cause explained (derived from sub-dimension)</t>
  </si>
  <si>
    <t>Action ID</t>
  </si>
  <si>
    <t>Action title</t>
  </si>
  <si>
    <t xml:space="preserve">Action description </t>
  </si>
  <si>
    <t xml:space="preserve">Intensity </t>
  </si>
  <si>
    <t>Source (optional)</t>
  </si>
  <si>
    <t>Layer 1: Organizational Foundation</t>
  </si>
  <si>
    <t>The way our organization is structured makes sense for the work we do.</t>
  </si>
  <si>
    <t>Clarity &amp; Coherence</t>
  </si>
  <si>
    <t>The organizational structure lacks clarity, making it difficult for employees to understand how work is organized and delivered.</t>
  </si>
  <si>
    <t>Clarify roles and responsibilities across teams</t>
  </si>
  <si>
    <t>Define clear ownership for key activities using simple tools (e.g., RACI) to reduce ambiguity in how work is organized.</t>
  </si>
  <si>
    <t>Low (quick win)</t>
  </si>
  <si>
    <t>Align team structures with core workflows</t>
  </si>
  <si>
    <t>Review how teams are organized against how work actually flows, and adjust roles or interfaces to improve coordination and efficiency.</t>
  </si>
  <si>
    <t>Medium (improvement)</t>
  </si>
  <si>
    <t>Redesign the organizational structure to better support delivery</t>
  </si>
  <si>
    <t>Revisit the current structure and governance model to ensure it reflects business priorities and enables effective execution across teams</t>
  </si>
  <si>
    <t>High (structural)</t>
  </si>
  <si>
    <t>The formal processes I am required to follow make my work easier / I often see people bypassing official procedures to get things done. ®</t>
  </si>
  <si>
    <t>Perceived Bureaucracy</t>
  </si>
  <si>
    <t>Organizational processes are perceived as overly complex and inefficient, and might lead employees to bypass formal procedures to get work done</t>
  </si>
  <si>
    <t>Identify and remove low-value administrative steps</t>
  </si>
  <si>
    <t>Review key processes to eliminate unnecessary tasks and simplify day-to-day execution.</t>
  </si>
  <si>
    <t>Streamline approval workflows and reduce layers</t>
  </si>
  <si>
    <t>Simplify decision and approval processes to make them faster, clearer, and easier to follow.</t>
  </si>
  <si>
    <t>Redesign core processes to improve efficienc</t>
  </si>
  <si>
    <t>Re-engineer critical workflows to ensure they support execution effectively and reduce systemic complexity.</t>
  </si>
  <si>
    <t>When an urgent issue arises, our governance systems enable us to respond quickly.</t>
  </si>
  <si>
    <t>Governance Responsiveness</t>
  </si>
  <si>
    <t>Urgent issues are not always handled quickly due to slow or unclear decision processes.</t>
  </si>
  <si>
    <t>Set clear fast-track rules for urgent decisions</t>
  </si>
  <si>
    <t>Define when and how decisions can be made quickly, without going through the full process.</t>
  </si>
  <si>
    <t>Create clear escalation paths for urgent decisions</t>
  </si>
  <si>
    <t>Specify who to involve and how to escalate when urgent issues arise, so decisions can be made quickly without confusion.</t>
  </si>
  <si>
    <t>Redesign decision ownership for faster responses</t>
  </si>
  <si>
    <t>Reallocate decision authority so urgent decisions can be made directly by the appropriate teams without unnecessary escalation.</t>
  </si>
  <si>
    <t>I have access to the digital tools I need for my work.</t>
  </si>
  <si>
    <t>Access &amp; Enablement</t>
  </si>
  <si>
    <t>Access to the right digital tools is limited, making it harder to perform work effectively.</t>
  </si>
  <si>
    <t>Fix immediate gaps in tool access</t>
  </si>
  <si>
    <t>Quickly ensure employees can access the key tools they need for their daily work (e.g., permissions, licenses, logins).</t>
  </si>
  <si>
    <t>Ensure consistent access to tools across teams</t>
  </si>
  <si>
    <t>Align access to tools so people in similar roles have what they need, avoiding gaps or inconsistencies.</t>
  </si>
  <si>
    <t>Set up a clear and structured process for tool access</t>
  </si>
  <si>
    <t>Create a consistent system for how tools are assigned, approved, and accessed across the organization.</t>
  </si>
  <si>
    <t>I feel confident using the technologies required in my role / I receive adequate training when new technologies are introduced.</t>
  </si>
  <si>
    <t>Training &amp; Competence</t>
  </si>
  <si>
    <t>Employees do not always feel confident using the tools required in their role due to limited training and support.</t>
  </si>
  <si>
    <t>Provide short, practical training on key tools</t>
  </si>
  <si>
    <t>Offer simple, role-relevant sessions to help employees quickly build confidence in using essential tools.</t>
  </si>
  <si>
    <t>Introduce structured training for new technologies</t>
  </si>
  <si>
    <t>Ensure employees receive consistent training and guidance when new tools are introduced.</t>
  </si>
  <si>
    <t>Build ongoing capability development for digital tools</t>
  </si>
  <si>
    <t>Establish a continuous approach to training and support so employees can effectively adopt and use technology over time.</t>
  </si>
  <si>
    <t>Technology helps reduce mistakes in my daily tasks.</t>
  </si>
  <si>
    <t>Perceived Value</t>
  </si>
  <si>
    <t>Technology is not always seen as helping reduce mistakes or improve the quality of daily work.</t>
  </si>
  <si>
    <t>Fix error-prone steps in key tools</t>
  </si>
  <si>
    <t>Identify common tasks where mistakes happen and adjust tool settings, templates, or checks to reduce errors.</t>
  </si>
  <si>
    <t>Standardize how tools are used for critical tasks</t>
  </si>
  <si>
    <t>Define clear ways of working (e.g., templates, validations, guidelines) to ensure tools consistently support accuracy.</t>
  </si>
  <si>
    <t>Replace or upgrade tools that do not support accuracy</t>
  </si>
  <si>
    <t>Ensure core tools are reliable and designed to reduce errors in day-to-day work.</t>
  </si>
  <si>
    <t>Our organization understands the needs of its customers.</t>
  </si>
  <si>
    <t>Market Awareness</t>
  </si>
  <si>
    <t>Customer needs are not consistently understood or shared across the organization.</t>
  </si>
  <si>
    <t>Collect direct feedback from customers regularly</t>
  </si>
  <si>
    <t>Set up simple ways to gather feedback (e.g., short surveys, calls) to better understand customer needs.</t>
  </si>
  <si>
    <t>Share customer insights across teams</t>
  </si>
  <si>
    <t>Ensure key customer feedback and insights are regularly communicated and accessible to relevant teams.</t>
  </si>
  <si>
    <t>Embed customer insights into decision-making</t>
  </si>
  <si>
    <t>Integrate customer needs into planning, priorities, and key decisions across the organization.</t>
  </si>
  <si>
    <t>We are quick to respond to changes in customer expectations.</t>
  </si>
  <si>
    <t>Customer Connection</t>
  </si>
  <si>
    <t>Customer proximity is limited, making it harder to detect and act on changes quickly.</t>
  </si>
  <si>
    <t>Increase direct contact between teams and customers</t>
  </si>
  <si>
    <t>Encourage regular interactions (e.g., calls, visits, support shadowing) so teams stay close to customer needs.</t>
  </si>
  <si>
    <t>Make customer interaction part of team routines</t>
  </si>
  <si>
    <t>Integrate regular customer touchpoints into ways of working (e.g., recurring calls, feedback reviews, field exposure).</t>
  </si>
  <si>
    <t>Embed customer proximity into roles and responsibilities</t>
  </si>
  <si>
    <t>Ensure teams have clear accountability and time allocated to stay connected to customers on an ongoing basis.</t>
  </si>
  <si>
    <t>We benchmark ourselves effectively against competitors.</t>
  </si>
  <si>
    <t>Competitive Intelligence</t>
  </si>
  <si>
    <t>Competitor activities are not consistently tracked or understood.</t>
  </si>
  <si>
    <t>Identify key competitors and gather basic insights</t>
  </si>
  <si>
    <t>List main competitors and collect simple information on their offers, pricing, and positioning.</t>
  </si>
  <si>
    <t>Review competitor activity regularly</t>
  </si>
  <si>
    <t>Set up simple routines (e.g., monthly reviews) to track changes and updates from competitors.</t>
  </si>
  <si>
    <t>Ensure a structured approach is in place to track competitors</t>
  </si>
  <si>
    <t>Put in place a consistent way to monitor competitor activity and keep insights up to date.</t>
  </si>
  <si>
    <t>When I learn something about customers or competitors, there are channels to share it internally.</t>
  </si>
  <si>
    <t>Information Flow</t>
  </si>
  <si>
    <t>Insights about customers and competitors are not easily shared across the organization.</t>
  </si>
  <si>
    <t>Use existing channels to share key insights</t>
  </si>
  <si>
    <t>Encourage teams to share relevant customer or competitor insights through current tools (e.g., meetings, chats, emails).</t>
  </si>
  <si>
    <t>Introduce simple routines to share insights</t>
  </si>
  <si>
    <t>Add regular moments (e.g., weekly updates, team meetings) where insights are shared and discussed.</t>
  </si>
  <si>
    <t>Set up shared channels to capture and access market insights</t>
  </si>
  <si>
    <t>Create a central and accessible place where teams can share and find insights about customers and competitors.</t>
  </si>
  <si>
    <t>Management acts on feedback from the market.</t>
  </si>
  <si>
    <t>External Responsiveness</t>
  </si>
  <si>
    <t>Market feedback is not consistently translated into decisions and actions.</t>
  </si>
  <si>
    <t>Act on 1–2 recent pieces of customer feedback</t>
  </si>
  <si>
    <t>Select a few recent insights and implement concrete changes (e.g., fix an issue, adjust a process, update an offer).</t>
  </si>
  <si>
    <t>Turn market feedback into clear action plans</t>
  </si>
  <si>
    <t>Translate key insights into specific actions with owners, timelines, and follow-up.</t>
  </si>
  <si>
    <t>Make market feedback a standard input in key decisions</t>
  </si>
  <si>
    <t>Include customer and market insights in regular decision moments (e.g., planning meetings, product updates, priority setting).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</si>
</sst>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</fills>
  <borders count="2">
    <border>
      <left/>
      <right/>
      <top/>
      <bottom/>
      <diagonal/>
    </border>
    <border>
      <left/>
      <right/>
      <top style="thin">
        <color rgb="FF356854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2" fillId="0" borderId="0" xfId="1" applyFont="1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1" fillId="0" borderId="0" xfId="1"/>
    <xf numFmtId="0" fontId="4" fillId="0" borderId="0" xfId="1" applyFont="1"/>
  </cellXfs>
  <cellStyles count="2">
    <cellStyle name="Normal" xfId="0" builtinId="0"/>
    <cellStyle name="Normal 2" xfId="1" xr:uid="{FFC2B2BA-9C07-4B8A-9401-0BD94C92985E}"/>
  </cellStyles>
  <dxfs count="3">
    <dxf>
      <fill>
        <patternFill>
          <bgColor rgb="FFE1F1E9"/>
        </patternFill>
      </fill>
    </dxf>
    <dxf>
      <fill>
        <patternFill>
          <fgColor rgb="FFFFFF00"/>
          <bgColor rgb="FFF7EFD5"/>
        </patternFill>
      </fill>
    </dxf>
    <dxf>
      <fill>
        <patternFill>
          <bgColor rgb="FFF9CD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rathausfzco.sharepoint.com/sites/Strathaus/Shared%20Documents/04.%20Products/Achieve/Product%20overview/OSR_V2.0%20-%2024.03.2026.xlsx" TargetMode="External"/><Relationship Id="rId1" Type="http://schemas.openxmlformats.org/officeDocument/2006/relationships/externalLinkPath" Target="https://strathausfzco.sharepoint.com/sites/Strathaus/Shared%20Documents/04.%20Products/Achieve/Surveys%20and%20datasets/OSR_V2.0%20-%2024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s"/>
      <sheetName val="OSR_Survey_Comprehensive_Pool_v"/>
      <sheetName val="OSR_Benchmarking_Survey_50items"/>
      <sheetName val="Additional Modules_Item_Overvie"/>
      <sheetName val="OSR_Pulse_Survey_12items_v1.1"/>
      <sheetName val="OSR_Module_strategic_renewal_v1"/>
      <sheetName val="OSR_Module_strategic_human_capi"/>
      <sheetName val="OSR_Module_performance_and_acco"/>
      <sheetName val="OSR_Module_organizational_agili"/>
      <sheetName val="OSR_Module_leadership_and_cultu"/>
    </sheetNames>
    <sheetDataSet>
      <sheetData sheetId="0" refreshError="1"/>
      <sheetData sheetId="1" refreshError="1">
        <row r="1">
          <cell r="C1" t="str">
            <v>Sub-dimension</v>
          </cell>
          <cell r="D1" t="str">
            <v>Dimension</v>
          </cell>
        </row>
        <row r="2">
          <cell r="C2" t="str">
            <v>Clarity &amp; Coherence</v>
          </cell>
          <cell r="D2" t="str">
            <v>Structure &amp; Governance</v>
          </cell>
        </row>
        <row r="3">
          <cell r="C3" t="str">
            <v>Decision Pathways</v>
          </cell>
          <cell r="D3" t="str">
            <v>Structure &amp; Governance</v>
          </cell>
        </row>
        <row r="4">
          <cell r="C4" t="str">
            <v>Accountability &amp; Empowerment</v>
          </cell>
          <cell r="D4" t="str">
            <v>Structure &amp; Governance</v>
          </cell>
        </row>
        <row r="5">
          <cell r="C5" t="str">
            <v>Perceived Bureaucracy</v>
          </cell>
          <cell r="D5" t="str">
            <v>Structure &amp; Governance</v>
          </cell>
        </row>
        <row r="6">
          <cell r="C6" t="str">
            <v>Perceived Bureaucracy</v>
          </cell>
          <cell r="D6" t="str">
            <v>Structure &amp; Governance</v>
          </cell>
        </row>
        <row r="7">
          <cell r="C7" t="str">
            <v>Governance Responsiveness</v>
          </cell>
          <cell r="D7" t="str">
            <v>Structure &amp; Governance</v>
          </cell>
        </row>
        <row r="8">
          <cell r="C8" t="str">
            <v>Decision Pathways</v>
          </cell>
          <cell r="D8" t="str">
            <v>Structure &amp; Governance</v>
          </cell>
        </row>
        <row r="9">
          <cell r="C9" t="str">
            <v>Accountability &amp; Empowerment</v>
          </cell>
          <cell r="D9" t="str">
            <v>Structure &amp; Governance</v>
          </cell>
        </row>
        <row r="10">
          <cell r="C10" t="str">
            <v>Governance Responsiveness</v>
          </cell>
          <cell r="D10" t="str">
            <v>Structure &amp; Governance</v>
          </cell>
        </row>
        <row r="11">
          <cell r="C11" t="str">
            <v>Perceived Bureaucracy</v>
          </cell>
          <cell r="D11" t="str">
            <v>Structure &amp; Governance</v>
          </cell>
        </row>
        <row r="12">
          <cell r="C12" t="str">
            <v>Access &amp; Enablement</v>
          </cell>
          <cell r="D12" t="str">
            <v>Digital &amp; Technology</v>
          </cell>
        </row>
        <row r="13">
          <cell r="C13" t="str">
            <v>Perceived Value</v>
          </cell>
          <cell r="D13" t="str">
            <v>Digital &amp; Technology</v>
          </cell>
        </row>
        <row r="14">
          <cell r="C14" t="str">
            <v>Perceived Value</v>
          </cell>
          <cell r="D14" t="str">
            <v>Digital &amp; Technology</v>
          </cell>
        </row>
        <row r="15">
          <cell r="C15" t="str">
            <v>Training &amp; Competence</v>
          </cell>
          <cell r="D15" t="str">
            <v>Digital &amp; Technology</v>
          </cell>
        </row>
        <row r="16">
          <cell r="C16" t="str">
            <v>Empowerment &amp; Experimentation</v>
          </cell>
          <cell r="D16" t="str">
            <v>Digital &amp; Technology</v>
          </cell>
        </row>
        <row r="17">
          <cell r="C17" t="str">
            <v>Access &amp; Enablement</v>
          </cell>
          <cell r="D17" t="str">
            <v>Digital &amp; Technology</v>
          </cell>
        </row>
        <row r="18">
          <cell r="C18" t="str">
            <v>Adaptation Readiness</v>
          </cell>
          <cell r="D18" t="str">
            <v>Digital &amp; Technology</v>
          </cell>
        </row>
        <row r="19">
          <cell r="C19" t="str">
            <v>Training &amp; Competence</v>
          </cell>
          <cell r="D19" t="str">
            <v>Digital &amp; Technology</v>
          </cell>
        </row>
        <row r="20">
          <cell r="C20" t="str">
            <v>Empowerment &amp; Experimentation</v>
          </cell>
          <cell r="D20" t="str">
            <v>Digital &amp; Technology</v>
          </cell>
        </row>
        <row r="21">
          <cell r="C21" t="str">
            <v>Adaptation Readiness</v>
          </cell>
          <cell r="D21" t="str">
            <v>Digital &amp; Technology</v>
          </cell>
        </row>
        <row r="22">
          <cell r="C22" t="str">
            <v>Market Awareness</v>
          </cell>
          <cell r="D22" t="str">
            <v>External Positioning &amp; Market Intelligence</v>
          </cell>
        </row>
        <row r="23">
          <cell r="C23" t="str">
            <v>Information Flow</v>
          </cell>
          <cell r="D23" t="str">
            <v>External Positioning &amp; Market Intelligence</v>
          </cell>
        </row>
        <row r="24">
          <cell r="C24" t="str">
            <v>External Responsiveness</v>
          </cell>
          <cell r="D24" t="str">
            <v>External Positioning &amp; Market Intelligence</v>
          </cell>
        </row>
        <row r="25">
          <cell r="C25" t="str">
            <v>Customer Connection</v>
          </cell>
          <cell r="D25" t="str">
            <v>External Positioning &amp; Market Intelligence</v>
          </cell>
        </row>
        <row r="26">
          <cell r="C26" t="str">
            <v>Competitive Intelligence</v>
          </cell>
          <cell r="D26" t="str">
            <v>External Positioning &amp; Market Intelligence</v>
          </cell>
        </row>
        <row r="27">
          <cell r="C27" t="str">
            <v>Market Awareness</v>
          </cell>
          <cell r="D27" t="str">
            <v>External Positioning &amp; Market Intelligence</v>
          </cell>
        </row>
        <row r="28">
          <cell r="C28" t="str">
            <v>Customer Connection</v>
          </cell>
          <cell r="D28" t="str">
            <v>External Positioning &amp; Market Intelligence</v>
          </cell>
        </row>
        <row r="29">
          <cell r="C29" t="str">
            <v>Market Awareness</v>
          </cell>
          <cell r="D29" t="str">
            <v>External Positioning &amp; Market Intelligence</v>
          </cell>
        </row>
        <row r="30">
          <cell r="C30" t="str">
            <v>Information Flow</v>
          </cell>
          <cell r="D30" t="str">
            <v>External Positioning &amp; Market Intelligence</v>
          </cell>
        </row>
        <row r="31">
          <cell r="C31" t="str">
            <v>Understanding of Vision</v>
          </cell>
          <cell r="D31" t="str">
            <v>Vision &amp; Strategic Direction</v>
          </cell>
        </row>
        <row r="32">
          <cell r="C32" t="str">
            <v>Belief in Vision</v>
          </cell>
          <cell r="D32" t="str">
            <v>Vision &amp; Strategic Direction</v>
          </cell>
        </row>
        <row r="33">
          <cell r="C33" t="str">
            <v>Vision Alignment</v>
          </cell>
          <cell r="D33" t="str">
            <v>Vision &amp; Strategic Direction</v>
          </cell>
        </row>
        <row r="34">
          <cell r="C34" t="str">
            <v>Vision Alignment</v>
          </cell>
          <cell r="D34" t="str">
            <v>Vision &amp; Strategic Direction</v>
          </cell>
        </row>
        <row r="35">
          <cell r="C35" t="str">
            <v>National Vision Alignment</v>
          </cell>
          <cell r="D35" t="str">
            <v>Vision &amp; Strategic Direction</v>
          </cell>
        </row>
        <row r="36">
          <cell r="C36" t="str">
            <v>Market Orientation</v>
          </cell>
          <cell r="D36" t="str">
            <v>Vision &amp; Strategic Direction</v>
          </cell>
        </row>
        <row r="37">
          <cell r="C37" t="str">
            <v>Vision Grounded in Reality</v>
          </cell>
          <cell r="D37" t="str">
            <v>Vision &amp; Strategic Direction</v>
          </cell>
        </row>
        <row r="38">
          <cell r="C38" t="str">
            <v>Vision Grounded in Reality</v>
          </cell>
          <cell r="D38" t="str">
            <v>Vision &amp; Strategic Direction</v>
          </cell>
        </row>
        <row r="39">
          <cell r="C39" t="str">
            <v>Leadership Team Alignment</v>
          </cell>
          <cell r="D39" t="str">
            <v>Leadership Effectiveness</v>
          </cell>
        </row>
        <row r="40">
          <cell r="C40" t="str">
            <v>Leadership Team Alignment</v>
          </cell>
          <cell r="D40" t="str">
            <v>Leadership Effectiveness</v>
          </cell>
        </row>
        <row r="41">
          <cell r="C41" t="str">
            <v>Manager Support</v>
          </cell>
          <cell r="D41" t="str">
            <v>Leadership Effectiveness</v>
          </cell>
        </row>
        <row r="42">
          <cell r="C42" t="str">
            <v>Manager Support</v>
          </cell>
          <cell r="D42" t="str">
            <v>Leadership Effectiveness</v>
          </cell>
        </row>
        <row r="43">
          <cell r="C43" t="str">
            <v>Recognition</v>
          </cell>
          <cell r="D43" t="str">
            <v>Leadership Effectiveness</v>
          </cell>
        </row>
        <row r="44">
          <cell r="C44" t="str">
            <v>Leadership Development</v>
          </cell>
          <cell r="D44" t="str">
            <v>Leadership Effectiveness</v>
          </cell>
        </row>
        <row r="45">
          <cell r="C45" t="str">
            <v>Leadership Development</v>
          </cell>
          <cell r="D45" t="str">
            <v>Leadership Effectiveness</v>
          </cell>
        </row>
        <row r="46">
          <cell r="C46" t="str">
            <v>Coaching &amp; Development</v>
          </cell>
          <cell r="D46" t="str">
            <v>Leadership Effectiveness</v>
          </cell>
        </row>
        <row r="47">
          <cell r="C47" t="str">
            <v>Company Capabilities</v>
          </cell>
          <cell r="D47" t="str">
            <v>Capabilities &amp; Competencies</v>
          </cell>
        </row>
        <row r="48">
          <cell r="C48" t="str">
            <v>Strategic Focus</v>
          </cell>
          <cell r="D48" t="str">
            <v>Capabilities &amp; Competencies</v>
          </cell>
        </row>
        <row r="49">
          <cell r="C49" t="str">
            <v>Collective Performance</v>
          </cell>
          <cell r="D49" t="str">
            <v>Capabilities &amp; Competencies</v>
          </cell>
        </row>
        <row r="50">
          <cell r="C50" t="str">
            <v>Individual Role Fit</v>
          </cell>
          <cell r="D50" t="str">
            <v>Capabilities &amp; Competencies</v>
          </cell>
        </row>
        <row r="51">
          <cell r="C51" t="str">
            <v>Company Capabilities</v>
          </cell>
          <cell r="D51" t="str">
            <v>Capabilities &amp; Competencies</v>
          </cell>
        </row>
        <row r="52">
          <cell r="C52" t="str">
            <v>Individual Role Fit</v>
          </cell>
          <cell r="D52" t="str">
            <v>Capabilities &amp; Competencies</v>
          </cell>
        </row>
        <row r="53">
          <cell r="C53" t="str">
            <v>Collective Performance</v>
          </cell>
          <cell r="D53" t="str">
            <v>Capabilities &amp; Competencies</v>
          </cell>
        </row>
        <row r="54">
          <cell r="C54" t="str">
            <v>Clarity of Expectations</v>
          </cell>
          <cell r="D54" t="str">
            <v>Performance Management &amp; Accountability</v>
          </cell>
        </row>
        <row r="55">
          <cell r="C55" t="str">
            <v>Clarity of Expectations</v>
          </cell>
          <cell r="D55" t="str">
            <v>Performance Management &amp; Accountability</v>
          </cell>
        </row>
        <row r="56">
          <cell r="C56" t="str">
            <v>Performance Dialogue</v>
          </cell>
          <cell r="D56" t="str">
            <v>Performance Management &amp; Accountability</v>
          </cell>
        </row>
        <row r="57">
          <cell r="C57" t="str">
            <v>Performance Dialogue</v>
          </cell>
          <cell r="D57" t="str">
            <v>Performance Management &amp; Accountability</v>
          </cell>
        </row>
        <row r="58">
          <cell r="C58" t="str">
            <v>Fair Assessment</v>
          </cell>
          <cell r="D58" t="str">
            <v>Performance Management &amp; Accountability</v>
          </cell>
        </row>
        <row r="59">
          <cell r="C59" t="str">
            <v>Recognition &amp; Consequences</v>
          </cell>
          <cell r="D59" t="str">
            <v>Performance Management &amp; Accountability</v>
          </cell>
        </row>
        <row r="60">
          <cell r="C60" t="str">
            <v>Quality of Metrics</v>
          </cell>
          <cell r="D60" t="str">
            <v>Performance Management &amp; Accountability</v>
          </cell>
        </row>
        <row r="61">
          <cell r="C61" t="str">
            <v>Financial &amp; Risk Discipline</v>
          </cell>
          <cell r="D61" t="str">
            <v>Performance Management &amp; Accountability</v>
          </cell>
        </row>
        <row r="62">
          <cell r="C62" t="str">
            <v>Financial &amp; Risk Discipline</v>
          </cell>
          <cell r="D62" t="str">
            <v>Performance Management &amp; Accountability</v>
          </cell>
        </row>
        <row r="63">
          <cell r="C63" t="str">
            <v>Collaboration Effectiveness</v>
          </cell>
          <cell r="D63" t="str">
            <v>Ways of Working &amp; Collaboration</v>
          </cell>
        </row>
        <row r="64">
          <cell r="C64" t="str">
            <v>Innovation Encouragement</v>
          </cell>
          <cell r="D64" t="str">
            <v>Ways of Working &amp; Collaboration</v>
          </cell>
        </row>
        <row r="65">
          <cell r="C65" t="str">
            <v>Innovation Encouragement</v>
          </cell>
          <cell r="D65" t="str">
            <v>Ways of Working &amp; Collaboration</v>
          </cell>
        </row>
        <row r="66">
          <cell r="C66" t="str">
            <v>Innovation Encouragement</v>
          </cell>
          <cell r="D66" t="str">
            <v>Ways of Working &amp; Collaboration</v>
          </cell>
        </row>
        <row r="67">
          <cell r="C67" t="str">
            <v>Innovation Encouragement</v>
          </cell>
          <cell r="D67" t="str">
            <v>Ways of Working &amp; Collaboration</v>
          </cell>
        </row>
        <row r="68">
          <cell r="C68" t="str">
            <v>Tools &amp; Resources</v>
          </cell>
          <cell r="D68" t="str">
            <v>Ways of Working &amp; Collaboration</v>
          </cell>
        </row>
        <row r="69">
          <cell r="C69" t="str">
            <v>Meeting &amp; Communication Efficiency</v>
          </cell>
          <cell r="D69" t="str">
            <v>Ways of Working &amp; Collaboration</v>
          </cell>
        </row>
        <row r="70">
          <cell r="C70" t="str">
            <v>Collaboration Effectiveness</v>
          </cell>
          <cell r="D70" t="str">
            <v>Ways of Working &amp; Collaboration</v>
          </cell>
        </row>
        <row r="71">
          <cell r="C71" t="str">
            <v>Feedback Loops &amp; Business Reviews</v>
          </cell>
          <cell r="D71" t="str">
            <v>Learning &amp; Adaptiveness</v>
          </cell>
        </row>
        <row r="72">
          <cell r="C72" t="str">
            <v>Agile Planning</v>
          </cell>
          <cell r="D72" t="str">
            <v>Learning &amp; Adaptiveness</v>
          </cell>
        </row>
        <row r="73">
          <cell r="C73" t="str">
            <v>Adaptiveness to Change</v>
          </cell>
          <cell r="D73" t="str">
            <v>Learning &amp; Adaptiveness</v>
          </cell>
        </row>
        <row r="74">
          <cell r="C74" t="str">
            <v>Organizational Learning</v>
          </cell>
          <cell r="D74" t="str">
            <v>Learning &amp; Adaptiveness</v>
          </cell>
        </row>
        <row r="75">
          <cell r="C75" t="str">
            <v>Adaptiveness to Change</v>
          </cell>
          <cell r="D75" t="str">
            <v>Learning &amp; Adaptiveness</v>
          </cell>
        </row>
        <row r="76">
          <cell r="C76" t="str">
            <v>Organizational Learning</v>
          </cell>
          <cell r="D76" t="str">
            <v>Learning &amp; Adaptiveness</v>
          </cell>
        </row>
        <row r="77">
          <cell r="C77" t="str">
            <v>Feedback Loops &amp; Business Reviews</v>
          </cell>
          <cell r="D77" t="str">
            <v>Learning &amp; Adaptiveness</v>
          </cell>
        </row>
        <row r="78">
          <cell r="C78" t="str">
            <v>Agile Planning</v>
          </cell>
          <cell r="D78" t="str">
            <v>Learning &amp; Adaptiveness</v>
          </cell>
        </row>
        <row r="79">
          <cell r="C79" t="str">
            <v>Communication of Values</v>
          </cell>
          <cell r="D79" t="str">
            <v>Culture &amp; Values</v>
          </cell>
        </row>
        <row r="80">
          <cell r="C80" t="str">
            <v>Living the Values</v>
          </cell>
          <cell r="D80" t="str">
            <v>Culture &amp; Values</v>
          </cell>
        </row>
        <row r="81">
          <cell r="C81" t="str">
            <v>Ethical Climate</v>
          </cell>
          <cell r="D81" t="str">
            <v>Culture &amp; Values</v>
          </cell>
        </row>
        <row r="82">
          <cell r="C82" t="str">
            <v>Ethical Climate</v>
          </cell>
          <cell r="D82" t="str">
            <v>Culture &amp; Values</v>
          </cell>
        </row>
        <row r="83">
          <cell r="C83" t="str">
            <v>Social Climate</v>
          </cell>
          <cell r="D83" t="str">
            <v>Culture &amp; Values</v>
          </cell>
        </row>
        <row r="84">
          <cell r="C84" t="str">
            <v>Living the Values</v>
          </cell>
          <cell r="D84" t="str">
            <v>Culture &amp; Values</v>
          </cell>
        </row>
        <row r="85">
          <cell r="C85" t="str">
            <v>Community Engagement</v>
          </cell>
          <cell r="D85" t="str">
            <v>Culture &amp; Values</v>
          </cell>
        </row>
        <row r="86">
          <cell r="C86" t="str">
            <v>Social Climate</v>
          </cell>
          <cell r="D86" t="str">
            <v>Culture &amp; Values</v>
          </cell>
        </row>
        <row r="87">
          <cell r="C87" t="str">
            <v>Looking Forward</v>
          </cell>
          <cell r="D87" t="str">
            <v>Engagement &amp; Energy</v>
          </cell>
        </row>
        <row r="88">
          <cell r="C88" t="str">
            <v>Work Energy</v>
          </cell>
          <cell r="D88" t="str">
            <v>Engagement &amp; Energy</v>
          </cell>
        </row>
        <row r="89">
          <cell r="C89" t="str">
            <v>Work Energy</v>
          </cell>
          <cell r="D89" t="str">
            <v>Engagement &amp; Energy</v>
          </cell>
        </row>
        <row r="90">
          <cell r="C90" t="str">
            <v>Absorption</v>
          </cell>
          <cell r="D90" t="str">
            <v>Engagement &amp; Energy</v>
          </cell>
        </row>
        <row r="91">
          <cell r="C91" t="str">
            <v>Work Energy</v>
          </cell>
          <cell r="D91" t="str">
            <v>Engagement &amp; Energy</v>
          </cell>
        </row>
        <row r="92">
          <cell r="C92" t="str">
            <v>Absorption</v>
          </cell>
          <cell r="D92" t="str">
            <v>Engagement &amp; Energy</v>
          </cell>
        </row>
        <row r="93">
          <cell r="C93" t="str">
            <v>Contribution Clarity</v>
          </cell>
          <cell r="D93" t="str">
            <v>Meaning &amp; Purpose</v>
          </cell>
        </row>
        <row r="94">
          <cell r="C94" t="str">
            <v>Personal Significance</v>
          </cell>
          <cell r="D94" t="str">
            <v>Meaning &amp; Purpose</v>
          </cell>
        </row>
        <row r="95">
          <cell r="C95" t="str">
            <v>Personal Significance</v>
          </cell>
          <cell r="D95" t="str">
            <v>Meaning &amp; Purpose</v>
          </cell>
        </row>
        <row r="96">
          <cell r="C96" t="str">
            <v>Contribution Clarity</v>
          </cell>
          <cell r="D96" t="str">
            <v>Meaning &amp; Purpose</v>
          </cell>
        </row>
        <row r="97">
          <cell r="C97" t="str">
            <v>Value Alignment</v>
          </cell>
          <cell r="D97" t="str">
            <v>Meaning &amp; Purpose</v>
          </cell>
        </row>
        <row r="98">
          <cell r="C98" t="str">
            <v>Personal Significance</v>
          </cell>
          <cell r="D98" t="str">
            <v>Meaning &amp; Purpose</v>
          </cell>
        </row>
        <row r="99">
          <cell r="C99" t="str">
            <v>Speaking Up Safety</v>
          </cell>
          <cell r="D99" t="str">
            <v>Trust &amp; Psychological Safety</v>
          </cell>
        </row>
        <row r="100">
          <cell r="C100" t="str">
            <v>Speaking Up Safety</v>
          </cell>
          <cell r="D100" t="str">
            <v>Trust &amp; Psychological Safety</v>
          </cell>
        </row>
        <row r="101">
          <cell r="C101" t="str">
            <v>Risk-Taking Climate</v>
          </cell>
          <cell r="D101" t="str">
            <v>Trust &amp; Psychological Safety</v>
          </cell>
        </row>
        <row r="102">
          <cell r="C102" t="str">
            <v>Interpersonal Trust</v>
          </cell>
          <cell r="D102" t="str">
            <v>Trust &amp; Psychological Safety</v>
          </cell>
        </row>
        <row r="103">
          <cell r="C103" t="str">
            <v>Interpersonal Trust</v>
          </cell>
          <cell r="D103" t="str">
            <v>Trust &amp; Psychological Safety</v>
          </cell>
        </row>
        <row r="104">
          <cell r="C104" t="str">
            <v>Speaking Up Safety</v>
          </cell>
          <cell r="D104" t="str">
            <v>Trust &amp; Psychological Safety</v>
          </cell>
        </row>
        <row r="105">
          <cell r="C105" t="str">
            <v>Recognition</v>
          </cell>
          <cell r="D105" t="str">
            <v>Fairness &amp; Recognition</v>
          </cell>
        </row>
        <row r="106">
          <cell r="C106" t="str">
            <v>Distributive Justice</v>
          </cell>
          <cell r="D106" t="str">
            <v>Fairness &amp; Recognition</v>
          </cell>
        </row>
        <row r="107">
          <cell r="C107" t="str">
            <v>Interactional Justice</v>
          </cell>
          <cell r="D107" t="str">
            <v>Fairness &amp; Recognition</v>
          </cell>
        </row>
        <row r="108">
          <cell r="C108" t="str">
            <v>Procedural Justice</v>
          </cell>
          <cell r="D108" t="str">
            <v>Fairness &amp; Recognition</v>
          </cell>
        </row>
        <row r="109">
          <cell r="C109" t="str">
            <v>Recognition</v>
          </cell>
          <cell r="D109" t="str">
            <v>Fairness &amp; Recognition</v>
          </cell>
        </row>
        <row r="110">
          <cell r="C110" t="str">
            <v>Recognition</v>
          </cell>
          <cell r="D110" t="str">
            <v>Fairness &amp; Recognition</v>
          </cell>
        </row>
        <row r="111">
          <cell r="C111" t="str">
            <v>Responsiveness</v>
          </cell>
          <cell r="D111" t="str">
            <v>Voice &amp; Agency</v>
          </cell>
        </row>
        <row r="112">
          <cell r="C112" t="str">
            <v>Influence</v>
          </cell>
          <cell r="D112" t="str">
            <v>Voice &amp; Agency</v>
          </cell>
        </row>
        <row r="113">
          <cell r="C113" t="str">
            <v>Being Heard</v>
          </cell>
          <cell r="D113" t="str">
            <v>Voice &amp; Agency</v>
          </cell>
        </row>
        <row r="114">
          <cell r="C114" t="str">
            <v>Influence</v>
          </cell>
          <cell r="D114" t="str">
            <v>Voice &amp; Agency</v>
          </cell>
        </row>
        <row r="115">
          <cell r="C115" t="str">
            <v>Being Heard</v>
          </cell>
          <cell r="D115" t="str">
            <v>Voice &amp; Agency</v>
          </cell>
        </row>
        <row r="116">
          <cell r="C116" t="str">
            <v>Responsiveness</v>
          </cell>
          <cell r="D116" t="str">
            <v>Voice &amp; Agency</v>
          </cell>
        </row>
        <row r="117">
          <cell r="C117" t="str">
            <v>Manager Relationship</v>
          </cell>
          <cell r="D117" t="str">
            <v>Relationship Quality</v>
          </cell>
        </row>
        <row r="118">
          <cell r="C118" t="str">
            <v>Team Relationships</v>
          </cell>
          <cell r="D118" t="str">
            <v>Relationship Quality</v>
          </cell>
        </row>
        <row r="119">
          <cell r="C119" t="str">
            <v>Social Connection</v>
          </cell>
          <cell r="D119" t="str">
            <v>Relationship Quality</v>
          </cell>
        </row>
        <row r="120">
          <cell r="C120" t="str">
            <v>Team Relationships</v>
          </cell>
          <cell r="D120" t="str">
            <v>Relationship Quality</v>
          </cell>
        </row>
        <row r="121">
          <cell r="C121" t="str">
            <v>Social Connection</v>
          </cell>
          <cell r="D121" t="str">
            <v>Relationship Quality</v>
          </cell>
        </row>
        <row r="122">
          <cell r="C122" t="str">
            <v>Social Connection</v>
          </cell>
          <cell r="D122" t="str">
            <v>Relationship Quality</v>
          </cell>
        </row>
        <row r="123">
          <cell r="C123" t="str">
            <v>Market Competitiveness</v>
          </cell>
          <cell r="D123" t="str">
            <v>Compensation &amp; Equity</v>
          </cell>
        </row>
        <row r="124">
          <cell r="C124" t="str">
            <v>Internal Equity</v>
          </cell>
          <cell r="D124" t="str">
            <v>Compensation &amp; Equity</v>
          </cell>
        </row>
        <row r="125">
          <cell r="C125" t="str">
            <v>Internal Equity</v>
          </cell>
          <cell r="D125" t="str">
            <v>Compensation &amp; Equity</v>
          </cell>
        </row>
        <row r="126">
          <cell r="C126" t="str">
            <v>Benefits Adequacy</v>
          </cell>
          <cell r="D126" t="str">
            <v>Compensation &amp; Equity</v>
          </cell>
        </row>
        <row r="127">
          <cell r="C127" t="str">
            <v>Market Competitiveness</v>
          </cell>
          <cell r="D127" t="str">
            <v>Compensation &amp; Equity</v>
          </cell>
        </row>
        <row r="128">
          <cell r="C128" t="str">
            <v>Internal Equity</v>
          </cell>
          <cell r="D128" t="str">
            <v>Compensation &amp; Equity</v>
          </cell>
        </row>
        <row r="129">
          <cell r="C129" t="str">
            <v>Emotional Exhaustion</v>
          </cell>
          <cell r="D129" t="str">
            <v>Wellbeing &amp; Burnout</v>
          </cell>
        </row>
        <row r="130">
          <cell r="C130" t="str">
            <v>Work-Life Balance</v>
          </cell>
          <cell r="D130" t="str">
            <v>Wellbeing &amp; Burnout</v>
          </cell>
        </row>
        <row r="131">
          <cell r="C131" t="str">
            <v>Stress Management</v>
          </cell>
          <cell r="D131" t="str">
            <v>Wellbeing &amp; Burnout</v>
          </cell>
        </row>
        <row r="132">
          <cell r="C132" t="str">
            <v>Emotional Exhaustion</v>
          </cell>
          <cell r="D132" t="str">
            <v>Wellbeing &amp; Burnout</v>
          </cell>
        </row>
        <row r="133">
          <cell r="C133" t="str">
            <v>Work-Life Balance</v>
          </cell>
          <cell r="D133" t="str">
            <v>Wellbeing &amp; Burnout</v>
          </cell>
        </row>
        <row r="134">
          <cell r="C134" t="str">
            <v>Positive Wellbeing</v>
          </cell>
          <cell r="D134" t="str">
            <v>Wellbeing &amp; Burnout</v>
          </cell>
        </row>
        <row r="135">
          <cell r="C135" t="str">
            <v>Advocacy</v>
          </cell>
          <cell r="D135" t="str">
            <v>Retention Intent &amp; Commitment</v>
          </cell>
        </row>
        <row r="136">
          <cell r="C136" t="str">
            <v>Retention Intent</v>
          </cell>
          <cell r="D136" t="str">
            <v>Retention Intent &amp; Commitment</v>
          </cell>
        </row>
        <row r="137">
          <cell r="C137" t="str">
            <v>Retention Intent</v>
          </cell>
          <cell r="D137" t="str">
            <v>Retention Intent &amp; Commitment</v>
          </cell>
        </row>
        <row r="138">
          <cell r="C138" t="str">
            <v>Organizational Commitment</v>
          </cell>
          <cell r="D138" t="str">
            <v>Retention Intent &amp; Commitment</v>
          </cell>
        </row>
        <row r="139">
          <cell r="C139" t="str">
            <v>Organizational Commitment</v>
          </cell>
          <cell r="D139" t="str">
            <v>Retention Intent &amp; Commitment</v>
          </cell>
        </row>
        <row r="140">
          <cell r="C140" t="str">
            <v>Retention Intent</v>
          </cell>
          <cell r="D140" t="str">
            <v>Retention Intent &amp; Commitment</v>
          </cell>
        </row>
        <row r="141">
          <cell r="C141" t="str">
            <v>Minimal Effort</v>
          </cell>
          <cell r="D141" t="str">
            <v>Silent Quitting / Disengagement</v>
          </cell>
        </row>
        <row r="142">
          <cell r="C142" t="str">
            <v>Minimal Effort</v>
          </cell>
          <cell r="D142" t="str">
            <v>Silent Quitting / Disengagement</v>
          </cell>
        </row>
        <row r="143">
          <cell r="C143" t="str">
            <v>Minimal Effort</v>
          </cell>
          <cell r="D143" t="str">
            <v>Silent Quitting / Disengagement</v>
          </cell>
        </row>
        <row r="144">
          <cell r="C144" t="str">
            <v>Disconnection</v>
          </cell>
          <cell r="D144" t="str">
            <v>Silent Quitting / Disengagement</v>
          </cell>
        </row>
        <row r="145">
          <cell r="C145" t="str">
            <v>Minimal Effort</v>
          </cell>
          <cell r="D145" t="str">
            <v>Silent Quitting / Disengagement</v>
          </cell>
        </row>
        <row r="146">
          <cell r="C146" t="str">
            <v>Future Optimism</v>
          </cell>
          <cell r="D146" t="str">
            <v>Confidence &amp; Competitive Positioning</v>
          </cell>
        </row>
        <row r="147">
          <cell r="C147" t="str">
            <v>Competitive Confidence</v>
          </cell>
          <cell r="D147" t="str">
            <v>Confidence &amp; Competitive Positioning</v>
          </cell>
        </row>
        <row r="148">
          <cell r="C148" t="str">
            <v>Value Proposition Belief</v>
          </cell>
          <cell r="D148" t="str">
            <v>Confidence &amp; Competitive Positioning</v>
          </cell>
        </row>
        <row r="149">
          <cell r="C149" t="str">
            <v>Competitive Confidence</v>
          </cell>
          <cell r="D149" t="str">
            <v>Confidence &amp; Competitive Positioning</v>
          </cell>
        </row>
        <row r="150">
          <cell r="C150" t="str">
            <v>Future Optimism</v>
          </cell>
          <cell r="D150" t="str">
            <v>Confidence &amp; Competitive Positioning</v>
          </cell>
        </row>
        <row r="151">
          <cell r="C151" t="str">
            <v>Future Optimism</v>
          </cell>
          <cell r="D151" t="str">
            <v>Confidence &amp; Competitive Positioning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2B93-D84C-478A-AD4C-ED6091BF5F1F}">
  <dimension ref="A1:J34"/>
  <sheetViews>
    <sheetView tabSelected="1" topLeftCell="E1" workbookViewId="0">
      <selection activeCell="K8" sqref="K8"/>
    </sheetView>
  </sheetViews>
  <sheetFormatPr defaultRowHeight="14.4" x14ac:dyDescent="0.3"/>
  <cols>
    <col min="1" max="1" width="27.6640625" bestFit="1" customWidth="1"/>
    <col min="2" max="2" width="32.6640625" bestFit="1" customWidth="1"/>
    <col min="3" max="3" width="105.21875" bestFit="1" customWidth="1"/>
    <col min="4" max="4" width="23.21875" bestFit="1" customWidth="1"/>
    <col min="5" max="5" width="42.5546875" bestFit="1" customWidth="1"/>
    <col min="6" max="6" width="8" bestFit="1" customWidth="1"/>
    <col min="7" max="7" width="48.5546875" bestFit="1" customWidth="1"/>
    <col min="8" max="8" width="15.5546875" bestFit="1" customWidth="1"/>
    <col min="9" max="9" width="18.77734375" bestFit="1" customWidth="1"/>
    <col min="10" max="10" width="14.5546875" bestFit="1" customWidth="1"/>
  </cols>
  <sheetData>
    <row r="1" spans="1:10" s="2" customFormat="1" ht="2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5" customFormat="1" ht="22.8" customHeight="1" x14ac:dyDescent="0.3">
      <c r="A2" s="3" t="s">
        <v>10</v>
      </c>
      <c r="B2" s="3" t="str">
        <f>VLOOKUP(D2,[1]OSR_Survey_Comprehensive_Pool_v!C:D,2,FALSE)</f>
        <v>Structure &amp; Governance</v>
      </c>
      <c r="C2" s="3" t="s">
        <v>11</v>
      </c>
      <c r="D2" s="3" t="s">
        <v>12</v>
      </c>
      <c r="E2" s="4" t="s">
        <v>13</v>
      </c>
      <c r="F2" s="3"/>
      <c r="G2" s="4" t="s">
        <v>14</v>
      </c>
      <c r="H2" s="4" t="s">
        <v>15</v>
      </c>
      <c r="I2" s="3" t="s">
        <v>16</v>
      </c>
      <c r="J2" s="3"/>
    </row>
    <row r="3" spans="1:10" s="5" customFormat="1" ht="22.8" customHeight="1" x14ac:dyDescent="0.3">
      <c r="A3" s="3" t="s">
        <v>10</v>
      </c>
      <c r="B3" s="3" t="str">
        <f>VLOOKUP(D3,[1]OSR_Survey_Comprehensive_Pool_v!C:D,2,FALSE)</f>
        <v>Structure &amp; Governance</v>
      </c>
      <c r="C3" s="3" t="s">
        <v>11</v>
      </c>
      <c r="D3" s="3" t="s">
        <v>12</v>
      </c>
      <c r="E3" s="4" t="s">
        <v>13</v>
      </c>
      <c r="F3" s="3"/>
      <c r="G3" s="4" t="s">
        <v>17</v>
      </c>
      <c r="H3" s="4" t="s">
        <v>18</v>
      </c>
      <c r="I3" s="3" t="s">
        <v>19</v>
      </c>
      <c r="J3" s="3"/>
    </row>
    <row r="4" spans="1:10" s="5" customFormat="1" ht="22.8" customHeight="1" x14ac:dyDescent="0.3">
      <c r="A4" s="3" t="s">
        <v>10</v>
      </c>
      <c r="B4" s="3" t="str">
        <f>VLOOKUP(D4,[1]OSR_Survey_Comprehensive_Pool_v!C:D,2,FALSE)</f>
        <v>Structure &amp; Governance</v>
      </c>
      <c r="C4" s="3" t="s">
        <v>11</v>
      </c>
      <c r="D4" s="3" t="s">
        <v>12</v>
      </c>
      <c r="E4" s="4" t="s">
        <v>13</v>
      </c>
      <c r="F4" s="3"/>
      <c r="G4" s="4" t="s">
        <v>20</v>
      </c>
      <c r="H4" s="4" t="s">
        <v>21</v>
      </c>
      <c r="I4" s="3" t="s">
        <v>22</v>
      </c>
      <c r="J4" s="3"/>
    </row>
    <row r="5" spans="1:10" s="5" customFormat="1" ht="22.8" customHeight="1" x14ac:dyDescent="0.3">
      <c r="A5" s="3" t="s">
        <v>10</v>
      </c>
      <c r="B5" s="3" t="str">
        <f>VLOOKUP(D5,[1]OSR_Survey_Comprehensive_Pool_v!C:D,2,FALSE)</f>
        <v>Structure &amp; Governance</v>
      </c>
      <c r="C5" s="3" t="s">
        <v>23</v>
      </c>
      <c r="D5" s="3" t="s">
        <v>24</v>
      </c>
      <c r="E5" s="4" t="s">
        <v>25</v>
      </c>
      <c r="F5" s="3"/>
      <c r="G5" s="4" t="s">
        <v>26</v>
      </c>
      <c r="H5" s="4" t="s">
        <v>27</v>
      </c>
      <c r="I5" s="3" t="s">
        <v>16</v>
      </c>
      <c r="J5" s="3"/>
    </row>
    <row r="6" spans="1:10" s="5" customFormat="1" ht="22.8" customHeight="1" x14ac:dyDescent="0.3">
      <c r="A6" s="3" t="s">
        <v>10</v>
      </c>
      <c r="B6" s="3" t="str">
        <f>VLOOKUP(D6,[1]OSR_Survey_Comprehensive_Pool_v!C:D,2,FALSE)</f>
        <v>Structure &amp; Governance</v>
      </c>
      <c r="C6" s="3" t="s">
        <v>23</v>
      </c>
      <c r="D6" s="3" t="s">
        <v>24</v>
      </c>
      <c r="E6" s="4" t="s">
        <v>25</v>
      </c>
      <c r="F6" s="3"/>
      <c r="G6" s="4" t="s">
        <v>28</v>
      </c>
      <c r="H6" s="4" t="s">
        <v>29</v>
      </c>
      <c r="I6" s="3" t="s">
        <v>19</v>
      </c>
      <c r="J6" s="3"/>
    </row>
    <row r="7" spans="1:10" s="5" customFormat="1" ht="22.8" customHeight="1" x14ac:dyDescent="0.3">
      <c r="A7" s="3" t="s">
        <v>10</v>
      </c>
      <c r="B7" s="3" t="str">
        <f>VLOOKUP(D7,[1]OSR_Survey_Comprehensive_Pool_v!C:D,2,FALSE)</f>
        <v>Structure &amp; Governance</v>
      </c>
      <c r="C7" s="3" t="s">
        <v>23</v>
      </c>
      <c r="D7" s="3" t="s">
        <v>24</v>
      </c>
      <c r="E7" s="4" t="s">
        <v>25</v>
      </c>
      <c r="F7" s="3"/>
      <c r="G7" s="4" t="s">
        <v>30</v>
      </c>
      <c r="H7" s="4" t="s">
        <v>31</v>
      </c>
      <c r="I7" s="3" t="s">
        <v>22</v>
      </c>
      <c r="J7" s="3"/>
    </row>
    <row r="8" spans="1:10" s="5" customFormat="1" ht="22.8" customHeight="1" x14ac:dyDescent="0.3">
      <c r="A8" s="3" t="s">
        <v>10</v>
      </c>
      <c r="B8" s="3" t="str">
        <f>VLOOKUP(D8,[1]OSR_Survey_Comprehensive_Pool_v!C:D,2,FALSE)</f>
        <v>Structure &amp; Governance</v>
      </c>
      <c r="C8" s="3" t="s">
        <v>32</v>
      </c>
      <c r="D8" s="3" t="s">
        <v>33</v>
      </c>
      <c r="E8" s="4" t="s">
        <v>34</v>
      </c>
      <c r="F8" s="3"/>
      <c r="G8" s="4" t="s">
        <v>35</v>
      </c>
      <c r="H8" s="4" t="s">
        <v>36</v>
      </c>
      <c r="I8" s="3" t="s">
        <v>16</v>
      </c>
      <c r="J8" s="3"/>
    </row>
    <row r="9" spans="1:10" s="5" customFormat="1" ht="22.8" customHeight="1" x14ac:dyDescent="0.3">
      <c r="A9" s="3" t="s">
        <v>10</v>
      </c>
      <c r="B9" s="3" t="str">
        <f>VLOOKUP(D9,[1]OSR_Survey_Comprehensive_Pool_v!C:D,2,FALSE)</f>
        <v>Structure &amp; Governance</v>
      </c>
      <c r="C9" s="3" t="s">
        <v>32</v>
      </c>
      <c r="D9" s="3" t="s">
        <v>33</v>
      </c>
      <c r="E9" s="4" t="s">
        <v>34</v>
      </c>
      <c r="F9" s="3"/>
      <c r="G9" s="3" t="s">
        <v>37</v>
      </c>
      <c r="H9" s="4" t="s">
        <v>38</v>
      </c>
      <c r="I9" s="3" t="s">
        <v>19</v>
      </c>
      <c r="J9" s="3"/>
    </row>
    <row r="10" spans="1:10" s="5" customFormat="1" ht="22.8" customHeight="1" x14ac:dyDescent="0.3">
      <c r="A10" s="3" t="s">
        <v>10</v>
      </c>
      <c r="B10" s="3" t="str">
        <f>VLOOKUP(D10,[1]OSR_Survey_Comprehensive_Pool_v!C:D,2,FALSE)</f>
        <v>Structure &amp; Governance</v>
      </c>
      <c r="C10" s="3" t="s">
        <v>32</v>
      </c>
      <c r="D10" s="3" t="s">
        <v>33</v>
      </c>
      <c r="E10" s="4" t="s">
        <v>34</v>
      </c>
      <c r="F10" s="3"/>
      <c r="G10" s="3" t="s">
        <v>39</v>
      </c>
      <c r="H10" s="4" t="s">
        <v>40</v>
      </c>
      <c r="I10" s="3" t="s">
        <v>22</v>
      </c>
      <c r="J10" s="3"/>
    </row>
    <row r="11" spans="1:10" s="5" customFormat="1" ht="22.8" customHeight="1" x14ac:dyDescent="0.3">
      <c r="A11" s="3" t="s">
        <v>10</v>
      </c>
      <c r="B11" s="3" t="str">
        <f>VLOOKUP(D11,[1]OSR_Survey_Comprehensive_Pool_v!C:D,2,FALSE)</f>
        <v>Digital &amp; Technology</v>
      </c>
      <c r="C11" s="3" t="s">
        <v>41</v>
      </c>
      <c r="D11" s="3" t="s">
        <v>42</v>
      </c>
      <c r="E11" s="4" t="s">
        <v>43</v>
      </c>
      <c r="F11" s="3"/>
      <c r="G11" s="3" t="s">
        <v>44</v>
      </c>
      <c r="H11" s="4" t="s">
        <v>45</v>
      </c>
      <c r="I11" s="3" t="s">
        <v>16</v>
      </c>
      <c r="J11" s="3"/>
    </row>
    <row r="12" spans="1:10" s="5" customFormat="1" ht="22.8" customHeight="1" x14ac:dyDescent="0.3">
      <c r="A12" s="3" t="s">
        <v>10</v>
      </c>
      <c r="B12" s="3" t="str">
        <f>VLOOKUP(D12,[1]OSR_Survey_Comprehensive_Pool_v!C:D,2,FALSE)</f>
        <v>Digital &amp; Technology</v>
      </c>
      <c r="C12" s="3" t="s">
        <v>41</v>
      </c>
      <c r="D12" s="3" t="s">
        <v>42</v>
      </c>
      <c r="E12" s="4" t="s">
        <v>43</v>
      </c>
      <c r="F12" s="3"/>
      <c r="G12" s="3" t="s">
        <v>46</v>
      </c>
      <c r="H12" s="4" t="s">
        <v>47</v>
      </c>
      <c r="I12" s="3" t="s">
        <v>19</v>
      </c>
      <c r="J12" s="3"/>
    </row>
    <row r="13" spans="1:10" s="5" customFormat="1" ht="22.8" customHeight="1" x14ac:dyDescent="0.3">
      <c r="A13" s="3" t="s">
        <v>10</v>
      </c>
      <c r="B13" s="3" t="str">
        <f>VLOOKUP(D13,[1]OSR_Survey_Comprehensive_Pool_v!C:D,2,FALSE)</f>
        <v>Digital &amp; Technology</v>
      </c>
      <c r="C13" s="3" t="s">
        <v>41</v>
      </c>
      <c r="D13" s="3" t="s">
        <v>42</v>
      </c>
      <c r="E13" s="4" t="s">
        <v>43</v>
      </c>
      <c r="F13" s="3"/>
      <c r="G13" s="3" t="s">
        <v>48</v>
      </c>
      <c r="H13" s="4" t="s">
        <v>49</v>
      </c>
      <c r="I13" s="3" t="s">
        <v>22</v>
      </c>
      <c r="J13" s="3"/>
    </row>
    <row r="14" spans="1:10" s="5" customFormat="1" ht="22.8" customHeight="1" x14ac:dyDescent="0.3">
      <c r="A14" s="3" t="s">
        <v>10</v>
      </c>
      <c r="B14" s="3" t="str">
        <f>VLOOKUP(D14,[1]OSR_Survey_Comprehensive_Pool_v!C:D,2,FALSE)</f>
        <v>Digital &amp; Technology</v>
      </c>
      <c r="C14" s="3" t="s">
        <v>50</v>
      </c>
      <c r="D14" s="3" t="s">
        <v>51</v>
      </c>
      <c r="E14" s="4" t="s">
        <v>52</v>
      </c>
      <c r="F14" s="3"/>
      <c r="G14" s="3" t="s">
        <v>53</v>
      </c>
      <c r="H14" s="4" t="s">
        <v>54</v>
      </c>
      <c r="I14" s="3" t="s">
        <v>16</v>
      </c>
      <c r="J14" s="3"/>
    </row>
    <row r="15" spans="1:10" s="5" customFormat="1" ht="22.8" customHeight="1" x14ac:dyDescent="0.3">
      <c r="A15" s="3" t="s">
        <v>10</v>
      </c>
      <c r="B15" s="3" t="str">
        <f>VLOOKUP(D15,[1]OSR_Survey_Comprehensive_Pool_v!C:D,2,FALSE)</f>
        <v>Digital &amp; Technology</v>
      </c>
      <c r="C15" s="3" t="s">
        <v>50</v>
      </c>
      <c r="D15" s="3" t="s">
        <v>51</v>
      </c>
      <c r="E15" s="4" t="s">
        <v>52</v>
      </c>
      <c r="F15" s="3"/>
      <c r="G15" s="3" t="s">
        <v>55</v>
      </c>
      <c r="H15" s="4" t="s">
        <v>56</v>
      </c>
      <c r="I15" s="3" t="s">
        <v>19</v>
      </c>
      <c r="J15" s="3"/>
    </row>
    <row r="16" spans="1:10" s="5" customFormat="1" ht="22.8" customHeight="1" x14ac:dyDescent="0.3">
      <c r="A16" s="3" t="s">
        <v>10</v>
      </c>
      <c r="B16" s="3" t="str">
        <f>VLOOKUP(D16,[1]OSR_Survey_Comprehensive_Pool_v!C:D,2,FALSE)</f>
        <v>Digital &amp; Technology</v>
      </c>
      <c r="C16" s="3" t="s">
        <v>50</v>
      </c>
      <c r="D16" s="3" t="s">
        <v>51</v>
      </c>
      <c r="E16" s="4" t="s">
        <v>52</v>
      </c>
      <c r="F16" s="3"/>
      <c r="G16" s="3" t="s">
        <v>57</v>
      </c>
      <c r="H16" s="4" t="s">
        <v>58</v>
      </c>
      <c r="I16" s="3" t="s">
        <v>22</v>
      </c>
      <c r="J16" s="3"/>
    </row>
    <row r="17" spans="1:10" s="5" customFormat="1" ht="22.8" customHeight="1" x14ac:dyDescent="0.3">
      <c r="A17" s="3" t="s">
        <v>10</v>
      </c>
      <c r="B17" s="3" t="str">
        <f>VLOOKUP(D17,[1]OSR_Survey_Comprehensive_Pool_v!C:D,2,FALSE)</f>
        <v>Digital &amp; Technology</v>
      </c>
      <c r="C17" s="3" t="s">
        <v>59</v>
      </c>
      <c r="D17" s="3" t="s">
        <v>60</v>
      </c>
      <c r="E17" s="4" t="s">
        <v>61</v>
      </c>
      <c r="F17" s="3"/>
      <c r="G17" s="3" t="s">
        <v>62</v>
      </c>
      <c r="H17" s="4" t="s">
        <v>63</v>
      </c>
      <c r="I17" s="3" t="s">
        <v>16</v>
      </c>
      <c r="J17" s="3"/>
    </row>
    <row r="18" spans="1:10" s="5" customFormat="1" ht="22.8" customHeight="1" x14ac:dyDescent="0.3">
      <c r="A18" s="3" t="s">
        <v>10</v>
      </c>
      <c r="B18" s="3" t="str">
        <f>VLOOKUP(D18,[1]OSR_Survey_Comprehensive_Pool_v!C:D,2,FALSE)</f>
        <v>Digital &amp; Technology</v>
      </c>
      <c r="C18" s="3" t="s">
        <v>59</v>
      </c>
      <c r="D18" s="3" t="s">
        <v>60</v>
      </c>
      <c r="E18" s="4" t="s">
        <v>61</v>
      </c>
      <c r="F18" s="3"/>
      <c r="G18" s="3" t="s">
        <v>64</v>
      </c>
      <c r="H18" s="4" t="s">
        <v>65</v>
      </c>
      <c r="I18" s="3" t="s">
        <v>19</v>
      </c>
      <c r="J18" s="3"/>
    </row>
    <row r="19" spans="1:10" s="5" customFormat="1" ht="22.8" customHeight="1" x14ac:dyDescent="0.3">
      <c r="A19" s="3" t="s">
        <v>10</v>
      </c>
      <c r="B19" s="3" t="str">
        <f>VLOOKUP(D19,[1]OSR_Survey_Comprehensive_Pool_v!C:D,2,FALSE)</f>
        <v>Digital &amp; Technology</v>
      </c>
      <c r="C19" s="3" t="s">
        <v>59</v>
      </c>
      <c r="D19" s="3" t="s">
        <v>60</v>
      </c>
      <c r="E19" s="4" t="s">
        <v>61</v>
      </c>
      <c r="F19" s="3"/>
      <c r="G19" s="6" t="s">
        <v>66</v>
      </c>
      <c r="H19" s="4" t="s">
        <v>67</v>
      </c>
      <c r="I19" s="3" t="s">
        <v>22</v>
      </c>
      <c r="J19" s="3"/>
    </row>
    <row r="20" spans="1:10" s="5" customFormat="1" ht="22.8" customHeight="1" x14ac:dyDescent="0.3">
      <c r="A20" s="3" t="s">
        <v>10</v>
      </c>
      <c r="B20" s="3" t="str">
        <f>VLOOKUP(D20,[1]OSR_Survey_Comprehensive_Pool_v!C:D,2,FALSE)</f>
        <v>External Positioning &amp; Market Intelligence</v>
      </c>
      <c r="C20" s="3" t="s">
        <v>68</v>
      </c>
      <c r="D20" s="3" t="s">
        <v>69</v>
      </c>
      <c r="E20" s="4" t="s">
        <v>70</v>
      </c>
      <c r="F20" s="3"/>
      <c r="G20" s="3" t="s">
        <v>71</v>
      </c>
      <c r="H20" s="4" t="s">
        <v>72</v>
      </c>
      <c r="I20" s="3" t="s">
        <v>16</v>
      </c>
      <c r="J20" s="3"/>
    </row>
    <row r="21" spans="1:10" s="5" customFormat="1" ht="22.8" customHeight="1" x14ac:dyDescent="0.3">
      <c r="A21" s="3" t="s">
        <v>10</v>
      </c>
      <c r="B21" s="3" t="str">
        <f>VLOOKUP(D21,[1]OSR_Survey_Comprehensive_Pool_v!C:D,2,FALSE)</f>
        <v>External Positioning &amp; Market Intelligence</v>
      </c>
      <c r="C21" s="3" t="s">
        <v>68</v>
      </c>
      <c r="D21" s="3" t="s">
        <v>69</v>
      </c>
      <c r="E21" s="4" t="s">
        <v>70</v>
      </c>
      <c r="F21" s="3"/>
      <c r="G21" s="3" t="s">
        <v>73</v>
      </c>
      <c r="H21" s="4" t="s">
        <v>74</v>
      </c>
      <c r="I21" s="3" t="s">
        <v>19</v>
      </c>
      <c r="J21" s="3"/>
    </row>
    <row r="22" spans="1:10" s="5" customFormat="1" ht="22.8" customHeight="1" x14ac:dyDescent="0.3">
      <c r="A22" s="3" t="s">
        <v>10</v>
      </c>
      <c r="B22" s="3" t="str">
        <f>VLOOKUP(D22,[1]OSR_Survey_Comprehensive_Pool_v!C:D,2,FALSE)</f>
        <v>External Positioning &amp; Market Intelligence</v>
      </c>
      <c r="C22" s="3" t="s">
        <v>68</v>
      </c>
      <c r="D22" s="3" t="s">
        <v>69</v>
      </c>
      <c r="E22" s="4" t="s">
        <v>70</v>
      </c>
      <c r="F22" s="3"/>
      <c r="G22" s="3" t="s">
        <v>75</v>
      </c>
      <c r="H22" s="4" t="s">
        <v>76</v>
      </c>
      <c r="I22" s="3" t="s">
        <v>22</v>
      </c>
      <c r="J22" s="3"/>
    </row>
    <row r="23" spans="1:10" s="5" customFormat="1" ht="22.8" customHeight="1" x14ac:dyDescent="0.3">
      <c r="A23" s="3" t="s">
        <v>10</v>
      </c>
      <c r="B23" s="3" t="str">
        <f>VLOOKUP(D23,[1]OSR_Survey_Comprehensive_Pool_v!C:D,2,FALSE)</f>
        <v>External Positioning &amp; Market Intelligence</v>
      </c>
      <c r="C23" s="3" t="s">
        <v>77</v>
      </c>
      <c r="D23" s="3" t="s">
        <v>78</v>
      </c>
      <c r="E23" s="4" t="s">
        <v>79</v>
      </c>
      <c r="F23" s="3"/>
      <c r="G23" s="3" t="s">
        <v>80</v>
      </c>
      <c r="H23" s="4" t="s">
        <v>81</v>
      </c>
      <c r="I23" s="3" t="s">
        <v>16</v>
      </c>
      <c r="J23" s="3"/>
    </row>
    <row r="24" spans="1:10" s="5" customFormat="1" ht="22.8" customHeight="1" x14ac:dyDescent="0.3">
      <c r="A24" s="3" t="s">
        <v>10</v>
      </c>
      <c r="B24" s="3" t="str">
        <f>VLOOKUP(D24,[1]OSR_Survey_Comprehensive_Pool_v!C:D,2,FALSE)</f>
        <v>External Positioning &amp; Market Intelligence</v>
      </c>
      <c r="C24" s="3" t="s">
        <v>77</v>
      </c>
      <c r="D24" s="3" t="s">
        <v>78</v>
      </c>
      <c r="E24" s="4" t="s">
        <v>79</v>
      </c>
      <c r="F24" s="3"/>
      <c r="G24" s="3" t="s">
        <v>82</v>
      </c>
      <c r="H24" s="4" t="s">
        <v>83</v>
      </c>
      <c r="I24" s="3" t="s">
        <v>19</v>
      </c>
      <c r="J24" s="3"/>
    </row>
    <row r="25" spans="1:10" s="5" customFormat="1" ht="22.8" customHeight="1" x14ac:dyDescent="0.3">
      <c r="A25" s="3" t="s">
        <v>10</v>
      </c>
      <c r="B25" s="3" t="str">
        <f>VLOOKUP(D25,[1]OSR_Survey_Comprehensive_Pool_v!C:D,2,FALSE)</f>
        <v>External Positioning &amp; Market Intelligence</v>
      </c>
      <c r="C25" s="3" t="s">
        <v>77</v>
      </c>
      <c r="D25" s="3" t="s">
        <v>78</v>
      </c>
      <c r="E25" s="4" t="s">
        <v>79</v>
      </c>
      <c r="F25" s="3"/>
      <c r="G25" s="3" t="s">
        <v>84</v>
      </c>
      <c r="H25" s="4" t="s">
        <v>85</v>
      </c>
      <c r="I25" s="3" t="s">
        <v>22</v>
      </c>
      <c r="J25" s="3"/>
    </row>
    <row r="26" spans="1:10" s="5" customFormat="1" ht="22.8" customHeight="1" x14ac:dyDescent="0.3">
      <c r="A26" s="3" t="s">
        <v>10</v>
      </c>
      <c r="B26" s="3" t="str">
        <f>VLOOKUP(D26,[1]OSR_Survey_Comprehensive_Pool_v!C:D,2,FALSE)</f>
        <v>External Positioning &amp; Market Intelligence</v>
      </c>
      <c r="C26" s="3" t="s">
        <v>86</v>
      </c>
      <c r="D26" s="3" t="s">
        <v>87</v>
      </c>
      <c r="E26" s="4" t="s">
        <v>88</v>
      </c>
      <c r="F26" s="3"/>
      <c r="G26" s="3" t="s">
        <v>89</v>
      </c>
      <c r="H26" s="4" t="s">
        <v>90</v>
      </c>
      <c r="I26" s="3" t="s">
        <v>16</v>
      </c>
      <c r="J26" s="3"/>
    </row>
    <row r="27" spans="1:10" s="5" customFormat="1" ht="22.8" customHeight="1" x14ac:dyDescent="0.3">
      <c r="A27" s="3" t="s">
        <v>10</v>
      </c>
      <c r="B27" s="3" t="str">
        <f>VLOOKUP(D27,[1]OSR_Survey_Comprehensive_Pool_v!C:D,2,FALSE)</f>
        <v>External Positioning &amp; Market Intelligence</v>
      </c>
      <c r="C27" s="3" t="s">
        <v>86</v>
      </c>
      <c r="D27" s="3" t="s">
        <v>87</v>
      </c>
      <c r="E27" s="4" t="s">
        <v>88</v>
      </c>
      <c r="F27" s="3"/>
      <c r="G27" s="3" t="s">
        <v>91</v>
      </c>
      <c r="H27" s="4" t="s">
        <v>92</v>
      </c>
      <c r="I27" s="3" t="s">
        <v>19</v>
      </c>
      <c r="J27" s="3"/>
    </row>
    <row r="28" spans="1:10" s="5" customFormat="1" ht="22.8" customHeight="1" x14ac:dyDescent="0.3">
      <c r="A28" s="3" t="s">
        <v>10</v>
      </c>
      <c r="B28" s="3" t="str">
        <f>VLOOKUP(D28,[1]OSR_Survey_Comprehensive_Pool_v!C:D,2,FALSE)</f>
        <v>External Positioning &amp; Market Intelligence</v>
      </c>
      <c r="C28" s="3" t="s">
        <v>86</v>
      </c>
      <c r="D28" s="3" t="s">
        <v>87</v>
      </c>
      <c r="E28" s="4" t="s">
        <v>88</v>
      </c>
      <c r="F28" s="3"/>
      <c r="G28" s="3" t="s">
        <v>93</v>
      </c>
      <c r="H28" s="4" t="s">
        <v>94</v>
      </c>
      <c r="I28" s="3" t="s">
        <v>22</v>
      </c>
      <c r="J28" s="3"/>
    </row>
    <row r="29" spans="1:10" s="5" customFormat="1" ht="22.8" customHeight="1" x14ac:dyDescent="0.3">
      <c r="A29" s="3" t="s">
        <v>10</v>
      </c>
      <c r="B29" s="3" t="str">
        <f>VLOOKUP(D29,[1]OSR_Survey_Comprehensive_Pool_v!C:D,2,FALSE)</f>
        <v>External Positioning &amp; Market Intelligence</v>
      </c>
      <c r="C29" s="3" t="s">
        <v>95</v>
      </c>
      <c r="D29" s="3" t="s">
        <v>96</v>
      </c>
      <c r="E29" s="4" t="s">
        <v>97</v>
      </c>
      <c r="F29" s="3"/>
      <c r="G29" s="3" t="s">
        <v>98</v>
      </c>
      <c r="H29" s="4" t="s">
        <v>99</v>
      </c>
      <c r="I29" s="3" t="s">
        <v>16</v>
      </c>
      <c r="J29" s="3"/>
    </row>
    <row r="30" spans="1:10" s="5" customFormat="1" ht="22.8" customHeight="1" x14ac:dyDescent="0.3">
      <c r="A30" s="3" t="s">
        <v>10</v>
      </c>
      <c r="B30" s="3" t="str">
        <f>VLOOKUP(D30,[1]OSR_Survey_Comprehensive_Pool_v!C:D,2,FALSE)</f>
        <v>External Positioning &amp; Market Intelligence</v>
      </c>
      <c r="C30" s="3" t="s">
        <v>95</v>
      </c>
      <c r="D30" s="3" t="s">
        <v>96</v>
      </c>
      <c r="E30" s="4" t="s">
        <v>97</v>
      </c>
      <c r="F30" s="3"/>
      <c r="G30" s="3" t="s">
        <v>100</v>
      </c>
      <c r="H30" s="4" t="s">
        <v>101</v>
      </c>
      <c r="I30" s="3" t="s">
        <v>19</v>
      </c>
      <c r="J30" s="3"/>
    </row>
    <row r="31" spans="1:10" s="5" customFormat="1" ht="22.8" customHeight="1" x14ac:dyDescent="0.3">
      <c r="A31" s="3" t="s">
        <v>10</v>
      </c>
      <c r="B31" s="3" t="str">
        <f>VLOOKUP(D31,[1]OSR_Survey_Comprehensive_Pool_v!C:D,2,FALSE)</f>
        <v>External Positioning &amp; Market Intelligence</v>
      </c>
      <c r="C31" s="3" t="s">
        <v>95</v>
      </c>
      <c r="D31" s="3" t="s">
        <v>96</v>
      </c>
      <c r="E31" s="4" t="s">
        <v>97</v>
      </c>
      <c r="F31" s="3"/>
      <c r="G31" s="3" t="s">
        <v>102</v>
      </c>
      <c r="H31" s="4" t="s">
        <v>103</v>
      </c>
      <c r="I31" s="3" t="s">
        <v>22</v>
      </c>
      <c r="J31" s="3"/>
    </row>
    <row r="32" spans="1:10" s="5" customFormat="1" ht="22.8" customHeight="1" x14ac:dyDescent="0.3">
      <c r="A32" s="3" t="s">
        <v>10</v>
      </c>
      <c r="B32" s="3" t="str">
        <f>VLOOKUP(D32,[1]OSR_Survey_Comprehensive_Pool_v!C:D,2,FALSE)</f>
        <v>External Positioning &amp; Market Intelligence</v>
      </c>
      <c r="C32" s="3" t="s">
        <v>104</v>
      </c>
      <c r="D32" s="3" t="s">
        <v>105</v>
      </c>
      <c r="E32" s="4" t="s">
        <v>106</v>
      </c>
      <c r="F32" s="3"/>
      <c r="G32" s="3" t="s">
        <v>107</v>
      </c>
      <c r="H32" s="4" t="s">
        <v>108</v>
      </c>
      <c r="I32" s="3" t="s">
        <v>16</v>
      </c>
      <c r="J32" s="3"/>
    </row>
    <row r="33" spans="1:10" s="5" customFormat="1" ht="22.8" customHeight="1" x14ac:dyDescent="0.3">
      <c r="A33" s="3" t="s">
        <v>10</v>
      </c>
      <c r="B33" s="3" t="str">
        <f>VLOOKUP(D33,[1]OSR_Survey_Comprehensive_Pool_v!C:D,2,FALSE)</f>
        <v>External Positioning &amp; Market Intelligence</v>
      </c>
      <c r="C33" s="3" t="s">
        <v>104</v>
      </c>
      <c r="D33" s="3" t="s">
        <v>105</v>
      </c>
      <c r="E33" s="4" t="s">
        <v>106</v>
      </c>
      <c r="F33" s="3"/>
      <c r="G33" s="3" t="s">
        <v>109</v>
      </c>
      <c r="H33" s="4" t="s">
        <v>110</v>
      </c>
      <c r="I33" s="3" t="s">
        <v>19</v>
      </c>
      <c r="J33" s="3"/>
    </row>
    <row r="34" spans="1:10" s="5" customFormat="1" ht="22.8" customHeight="1" x14ac:dyDescent="0.3">
      <c r="A34" s="3" t="s">
        <v>10</v>
      </c>
      <c r="B34" s="3" t="str">
        <f>VLOOKUP(D34,[1]OSR_Survey_Comprehensive_Pool_v!C:D,2,FALSE)</f>
        <v>External Positioning &amp; Market Intelligence</v>
      </c>
      <c r="C34" s="3" t="s">
        <v>104</v>
      </c>
      <c r="D34" s="3" t="s">
        <v>105</v>
      </c>
      <c r="E34" s="4" t="s">
        <v>106</v>
      </c>
      <c r="F34" s="3"/>
      <c r="G34" s="3" t="s">
        <v>111</v>
      </c>
      <c r="H34" s="4" t="s">
        <v>112</v>
      </c>
      <c r="I34" s="3" t="s">
        <v>22</v>
      </c>
      <c r="J34" s="3"/>
    </row>
  </sheetData>
  <conditionalFormatting sqref="I1:I34">
    <cfRule type="containsText" dxfId="2" priority="1" operator="containsText" text="High">
      <formula>NOT(ISERROR(SEARCH("High",I1)))</formula>
    </cfRule>
    <cfRule type="containsText" dxfId="1" priority="2" operator="containsText" text="Medium">
      <formula>NOT(ISERROR(SEARCH("Medium",I1)))</formula>
    </cfRule>
    <cfRule type="containsText" dxfId="0" priority="3" operator="containsText" text="Low">
      <formula>NOT(ISERROR(SEARCH("Low",I1)))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Sbeity</dc:creator>
  <cp:lastModifiedBy>Sarah Sbeity</cp:lastModifiedBy>
  <dcterms:created xsi:type="dcterms:W3CDTF">2026-04-15T11:46:30Z</dcterms:created>
  <dcterms:modified xsi:type="dcterms:W3CDTF">2026-04-15T11:47:56Z</dcterms:modified>
</cp:coreProperties>
</file>